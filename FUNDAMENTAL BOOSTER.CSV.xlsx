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E49DDB3-A1C5-4E9C-8E15-EBAEBDFCEF3F}" xr6:coauthVersionLast="47" xr6:coauthVersionMax="47" xr10:uidLastSave="{00000000-0000-0000-0000-000000000000}"/>
  <bookViews>
    <workbookView xWindow="-108" yWindow="-108" windowWidth="23256" windowHeight="12576" xr2:uid="{630174AD-E097-4421-B2DB-D5B604F87F50}"/>
  </bookViews>
  <sheets>
    <sheet name="FUNDAMENTAL BOO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69" i="1" l="1" a="1"/>
  <c r="C69" i="1" s="1"/>
  <c r="E56" i="1"/>
  <c r="D56" i="1"/>
  <c r="C56" i="1"/>
  <c r="E43" i="1"/>
  <c r="E30" i="1"/>
  <c r="C17" i="1"/>
  <c r="C4" i="1"/>
  <c r="A53" i="1" l="1"/>
  <c r="E57" i="1" l="1"/>
  <c r="E58" i="1"/>
  <c r="E59" i="1"/>
  <c r="E60" i="1"/>
  <c r="E61" i="1"/>
  <c r="E62" i="1"/>
  <c r="E63" i="1"/>
  <c r="E64" i="1"/>
  <c r="E65" i="1"/>
  <c r="D57" i="1"/>
  <c r="D58" i="1"/>
  <c r="D59" i="1"/>
  <c r="D60" i="1"/>
  <c r="D61" i="1"/>
  <c r="D62" i="1"/>
  <c r="D63" i="1"/>
  <c r="D64" i="1"/>
  <c r="D65" i="1"/>
  <c r="C57" i="1"/>
  <c r="C58" i="1"/>
  <c r="C59" i="1"/>
  <c r="C60" i="1"/>
  <c r="C61" i="1"/>
  <c r="C62" i="1"/>
  <c r="C63" i="1"/>
  <c r="C64" i="1"/>
  <c r="C65" i="1"/>
  <c r="C5" i="1"/>
  <c r="C6" i="1"/>
  <c r="C7" i="1"/>
  <c r="C8" i="1"/>
  <c r="C9" i="1"/>
  <c r="C10" i="1"/>
  <c r="C11" i="1"/>
  <c r="C12" i="1"/>
  <c r="C1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<sst xmlns="http://schemas.openxmlformats.org/spreadsheetml/2006/main" count="92" uniqueCount="52">
  <si>
    <t>STUDENT NAME</t>
  </si>
  <si>
    <t>MOHAN</t>
  </si>
  <si>
    <t>SOHAN</t>
  </si>
  <si>
    <t>SONU</t>
  </si>
  <si>
    <t>MONU</t>
  </si>
  <si>
    <t>RAHUL</t>
  </si>
  <si>
    <t>GRADE</t>
  </si>
  <si>
    <t xml:space="preserve">MARKS </t>
  </si>
  <si>
    <t xml:space="preserve">STUDENT </t>
  </si>
  <si>
    <t>ROHAN</t>
  </si>
  <si>
    <t>ROHIT</t>
  </si>
  <si>
    <t>SUNNY</t>
  </si>
  <si>
    <t>JAMSED</t>
  </si>
  <si>
    <t>BINOD</t>
  </si>
  <si>
    <t>STUDENT</t>
  </si>
  <si>
    <t>PRODUCT PRICE</t>
  </si>
  <si>
    <t>PRODUCT PRICE (VLOOKUP)</t>
  </si>
  <si>
    <t>PRODUCT ID</t>
  </si>
  <si>
    <t>PRODUCT NAME</t>
  </si>
  <si>
    <t>LAPTOP</t>
  </si>
  <si>
    <t>MOUCE</t>
  </si>
  <si>
    <t>KEYBOARD</t>
  </si>
  <si>
    <t>MONITER</t>
  </si>
  <si>
    <t>CPU</t>
  </si>
  <si>
    <t>CABLE</t>
  </si>
  <si>
    <t>HADESAT</t>
  </si>
  <si>
    <t>HEADPHONE</t>
  </si>
  <si>
    <t>EARBUDES</t>
  </si>
  <si>
    <t>MOBILE</t>
  </si>
  <si>
    <t>ENTER PRODUCT ID</t>
  </si>
  <si>
    <t>EMP_ID</t>
  </si>
  <si>
    <t>NAME</t>
  </si>
  <si>
    <t>SALERY</t>
  </si>
  <si>
    <t xml:space="preserve">ROHAN </t>
  </si>
  <si>
    <t>VED</t>
  </si>
  <si>
    <t>JOSI</t>
  </si>
  <si>
    <t xml:space="preserve">ROHIT </t>
  </si>
  <si>
    <t>ABHISEK</t>
  </si>
  <si>
    <t>SELERY</t>
  </si>
  <si>
    <t>EMP_ID ENTER</t>
  </si>
  <si>
    <t>STUDENT GRADE TABLE(IF)</t>
  </si>
  <si>
    <t>EMPLOYEE SALERY FIND(XLOOKUP)</t>
  </si>
  <si>
    <t>STUDENT MARKS &gt;60 (COUNTIFS)</t>
  </si>
  <si>
    <t>STUDENT MARKS &gt; 80(FILTER)</t>
  </si>
  <si>
    <t>MARKS</t>
  </si>
  <si>
    <t>JOINING DATA</t>
  </si>
  <si>
    <t>EMPLOYEE NAME</t>
  </si>
  <si>
    <t>SUJIT</t>
  </si>
  <si>
    <t>YEAR</t>
  </si>
  <si>
    <t>MONTH</t>
  </si>
  <si>
    <t>TENURE EMPLOYEE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</si>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</sst>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Calibri"/>
      <family val="2"/>
      <scheme val="minor"/>
    </font>
    <font>
      <b/>
      <sz val="16"/>
      <color theme="1"/>
      <name val="Century"/>
      <family val="1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entury"/>
      <family val="1"/>
    </font>
    <font>
      <b/>
      <sz val="18"/>
      <color theme="1"/>
      <name val="Century"/>
      <family val="1"/>
    </font>
    <font>
      <sz val="11"/>
      <color theme="1"/>
      <name val="Calibri"/>
      <family val="2"/>
      <scheme val="minor"/>
    </font>
    <font>
      <b/>
      <sz val="11"/>
      <color theme="1"/>
      <name val="Century"/>
      <family val="1"/>
    </font>
    <font>
      <b/>
      <sz val="12"/>
      <color theme="1"/>
      <name val="Century"/>
      <family val="1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Border="1"/>
    <xf numFmtId="0" fontId="0" fillId="0" borderId="0" xfId="0" applyFill="1" applyBorder="1"/>
    <xf numFmtId="0" fontId="1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5" borderId="0" xfId="0" applyFill="1"/>
    <xf numFmtId="0" fontId="0" fillId="0" borderId="1" xfId="0" applyBorder="1"/>
    <xf numFmtId="0" fontId="0" fillId="7" borderId="1" xfId="0" applyFill="1" applyBorder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4" xfId="0" applyBorder="1"/>
    <xf numFmtId="44" fontId="1" fillId="0" borderId="0" xfId="1" applyFont="1" applyFill="1" applyAlignment="1">
      <alignment vertical="center"/>
    </xf>
    <xf numFmtId="44" fontId="0" fillId="0" borderId="0" xfId="1" applyFont="1" applyBorder="1"/>
    <xf numFmtId="44" fontId="0" fillId="0" borderId="0" xfId="1" applyFont="1"/>
    <xf numFmtId="44" fontId="0" fillId="0" borderId="0" xfId="1" applyFont="1" applyFill="1" applyBorder="1"/>
    <xf numFmtId="44" fontId="2" fillId="0" borderId="0" xfId="1" applyFont="1"/>
    <xf numFmtId="0" fontId="0" fillId="7" borderId="5" xfId="0" applyFill="1" applyBorder="1"/>
    <xf numFmtId="0" fontId="0" fillId="4" borderId="6" xfId="0" applyFill="1" applyBorder="1"/>
    <xf numFmtId="0" fontId="0" fillId="0" borderId="5" xfId="0" applyBorder="1"/>
    <xf numFmtId="15" fontId="0" fillId="0" borderId="4" xfId="0" applyNumberFormat="1" applyBorder="1"/>
    <xf numFmtId="0" fontId="0" fillId="9" borderId="5" xfId="0" applyFill="1" applyBorder="1"/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2" borderId="3" xfId="0" applyFont="1" applyFill="1" applyBorder="1"/>
    <xf numFmtId="0" fontId="9" fillId="6" borderId="1" xfId="0" applyFont="1" applyFill="1" applyBorder="1"/>
    <xf numFmtId="0" fontId="9" fillId="8" borderId="3" xfId="0" applyFont="1" applyFill="1" applyBorder="1"/>
    <xf numFmtId="0" fontId="9" fillId="8" borderId="2" xfId="0" applyFont="1" applyFill="1" applyBorder="1"/>
    <xf numFmtId="0" fontId="9" fillId="6" borderId="3" xfId="0" applyFont="1" applyFill="1" applyBorder="1"/>
    <xf numFmtId="0" fontId="9" fillId="6" borderId="2" xfId="0" applyFont="1" applyFill="1" applyBorder="1"/>
    <xf numFmtId="0" fontId="0" fillId="4" borderId="0" xfId="0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22F2A-7929-4A8A-BE2C-4274FE9914B3}">
  <dimension ref="A1:O118"/>
  <sheetViews>
    <sheetView tabSelected="1" zoomScaleNormal="100" workbookViewId="0">
      <selection activeCell="G61" sqref="G61"/>
    </sheetView>
  </sheetViews>
  <sheetFormatPr defaultRowHeight="14.4" x14ac:dyDescent="0.3"/>
  <cols>
    <col min="1" max="1" width="17.109375" customWidth="1"/>
    <col min="2" max="2" width="16.88671875" customWidth="1"/>
    <col min="3" max="3" width="16.21875" bestFit="1" customWidth="1"/>
    <col min="4" max="4" width="19.5546875" bestFit="1" customWidth="1"/>
    <col min="5" max="5" width="19.21875" bestFit="1" customWidth="1"/>
    <col min="6" max="6" width="10.5546875" bestFit="1" customWidth="1"/>
    <col min="7" max="7" width="15.109375" style="17" bestFit="1" customWidth="1"/>
    <col min="9" max="9" width="15.6640625" bestFit="1" customWidth="1"/>
  </cols>
  <sheetData>
    <row r="1" spans="1:15" ht="14.4" customHeight="1" x14ac:dyDescent="0.3">
      <c r="A1" s="13" t="s">
        <v>40</v>
      </c>
      <c r="B1" s="13"/>
      <c r="C1" s="13"/>
      <c r="D1" s="13"/>
      <c r="E1" s="13"/>
      <c r="F1" s="13"/>
      <c r="G1" s="15"/>
      <c r="H1" s="5"/>
      <c r="I1" s="5"/>
      <c r="J1" s="5"/>
      <c r="K1" s="5"/>
      <c r="L1" s="5"/>
      <c r="M1" s="5"/>
      <c r="N1" s="5"/>
      <c r="O1" s="5"/>
    </row>
    <row r="2" spans="1:15" ht="14.4" customHeight="1" thickBot="1" x14ac:dyDescent="0.35">
      <c r="A2" s="13"/>
      <c r="B2" s="13"/>
      <c r="C2" s="13"/>
      <c r="D2" s="13"/>
      <c r="E2" s="13"/>
      <c r="F2" s="13"/>
      <c r="G2" s="15"/>
      <c r="H2" s="5"/>
      <c r="I2" s="5"/>
      <c r="J2" s="5"/>
      <c r="K2" s="5"/>
      <c r="L2" s="5"/>
      <c r="M2" s="5"/>
      <c r="N2" s="5"/>
      <c r="O2" s="5"/>
    </row>
    <row r="3" spans="1:15" ht="15" thickBot="1" x14ac:dyDescent="0.35">
      <c r="A3" s="25" t="s">
        <v>8</v>
      </c>
      <c r="B3" s="26" t="s">
        <v>7</v>
      </c>
      <c r="C3" s="27" t="s">
        <v>6</v>
      </c>
      <c r="G3" s="16"/>
      <c r="H3" s="3"/>
      <c r="I3" s="3"/>
    </row>
    <row r="4" spans="1:15" ht="15" thickBot="1" x14ac:dyDescent="0.35">
      <c r="A4" s="14" t="s">
        <v>1</v>
      </c>
      <c r="B4" s="14">
        <v>90</v>
      </c>
      <c r="C4" s="22" t="str">
        <f>IF(B4&gt;=80,"A",IF(B4&gt;=60,"B",IF(B4&gt;=30,"C","F")))</f>
        <v>A</v>
      </c>
      <c r="G4" s="16"/>
      <c r="H4" s="3"/>
      <c r="I4" s="3"/>
    </row>
    <row r="5" spans="1:15" ht="15" thickBot="1" x14ac:dyDescent="0.35">
      <c r="A5" s="14" t="s">
        <v>2</v>
      </c>
      <c r="B5" s="14">
        <v>10</v>
      </c>
      <c r="C5" s="22" t="str">
        <f>IF(B5&gt;=80,"A",IF(B5&gt;=60,"B",IF(B5&gt;=30,"C","F")))</f>
        <v>F</v>
      </c>
    </row>
    <row r="6" spans="1:15" ht="15" thickBot="1" x14ac:dyDescent="0.35">
      <c r="A6" s="14" t="s">
        <v>9</v>
      </c>
      <c r="B6" s="14">
        <v>38</v>
      </c>
      <c r="C6" s="22" t="str">
        <f>IF(B6&gt;=80,"A",IF(B6&gt;=60,"B",IF(B6&gt;=30,"C","F")))</f>
        <v>C</v>
      </c>
    </row>
    <row r="7" spans="1:15" ht="15" thickBot="1" x14ac:dyDescent="0.35">
      <c r="A7" s="14" t="s">
        <v>4</v>
      </c>
      <c r="B7" s="14">
        <v>49</v>
      </c>
      <c r="C7" s="22" t="str">
        <f>IF(B7&gt;=80,"A",IF(B7&gt;=60,"B",IF(B7&gt;=30,"C","F")))</f>
        <v>C</v>
      </c>
    </row>
    <row r="8" spans="1:15" ht="15" thickBot="1" x14ac:dyDescent="0.35">
      <c r="A8" s="14" t="s">
        <v>3</v>
      </c>
      <c r="B8" s="14">
        <v>49</v>
      </c>
      <c r="C8" s="22" t="str">
        <f>IF(B8&gt;=80,"A",IF(B8&gt;=60,"B",IF(B8&gt;=30,"C","F")))</f>
        <v>C</v>
      </c>
    </row>
    <row r="9" spans="1:15" ht="15" thickBot="1" x14ac:dyDescent="0.35">
      <c r="A9" s="14" t="s">
        <v>10</v>
      </c>
      <c r="B9" s="14">
        <v>33</v>
      </c>
      <c r="C9" s="22" t="str">
        <f>IF(B9&gt;=80,"A",IF(B9&gt;=60,"B",IF(B9&gt;=30,"C","F")))</f>
        <v>C</v>
      </c>
    </row>
    <row r="10" spans="1:15" ht="15" thickBot="1" x14ac:dyDescent="0.35">
      <c r="A10" s="14" t="s">
        <v>11</v>
      </c>
      <c r="B10" s="14">
        <v>64</v>
      </c>
      <c r="C10" s="22" t="str">
        <f>IF(B10&gt;=80,"A",IF(B10&gt;=60,"B",IF(B10&gt;=30,"C","F")))</f>
        <v>B</v>
      </c>
    </row>
    <row r="11" spans="1:15" ht="15" thickBot="1" x14ac:dyDescent="0.35">
      <c r="A11" s="14" t="s">
        <v>12</v>
      </c>
      <c r="B11" s="14">
        <v>46</v>
      </c>
      <c r="C11" s="22" t="str">
        <f>IF(B11&gt;=80,"A",IF(B11&gt;=60,"B",IF(B11&gt;=30,"C","F")))</f>
        <v>C</v>
      </c>
    </row>
    <row r="12" spans="1:15" ht="15" thickBot="1" x14ac:dyDescent="0.35">
      <c r="A12" s="14" t="s">
        <v>13</v>
      </c>
      <c r="B12" s="14">
        <v>98</v>
      </c>
      <c r="C12" s="22" t="str">
        <f>IF(B12&gt;=80,"A",IF(B12&gt;=60,"B",IF(B12&gt;=30,"C","F")))</f>
        <v>A</v>
      </c>
      <c r="I12" s="1"/>
    </row>
    <row r="13" spans="1:15" ht="15" thickBot="1" x14ac:dyDescent="0.35">
      <c r="A13" s="14" t="s">
        <v>5</v>
      </c>
      <c r="B13" s="14">
        <v>62</v>
      </c>
      <c r="C13" s="22" t="str">
        <f>IF(B13&gt;=80,"A",IF(B13&gt;=60,"B",IF(B13&gt;=30,"C","F")))</f>
        <v>B</v>
      </c>
      <c r="I13" s="2"/>
    </row>
    <row r="14" spans="1:15" ht="14.4" customHeight="1" x14ac:dyDescent="0.3">
      <c r="A14" s="10" t="s">
        <v>42</v>
      </c>
      <c r="B14" s="10"/>
      <c r="C14" s="10"/>
      <c r="D14" s="10"/>
      <c r="E14" s="10"/>
      <c r="F14" s="10"/>
      <c r="I14" s="2"/>
    </row>
    <row r="15" spans="1:15" ht="20.399999999999999" customHeight="1" thickBot="1" x14ac:dyDescent="0.35">
      <c r="A15" s="10"/>
      <c r="B15" s="10"/>
      <c r="C15" s="10"/>
      <c r="D15" s="10"/>
      <c r="E15" s="10"/>
      <c r="F15" s="10"/>
    </row>
    <row r="16" spans="1:15" ht="16.2" customHeight="1" thickBot="1" x14ac:dyDescent="0.35">
      <c r="A16" s="28" t="s">
        <v>14</v>
      </c>
      <c r="B16" s="29" t="s">
        <v>7</v>
      </c>
      <c r="C16" s="30" t="s">
        <v>51</v>
      </c>
      <c r="D16" s="6"/>
      <c r="E16" s="6"/>
      <c r="F16" s="6"/>
    </row>
    <row r="17" spans="1:13" ht="15" thickBot="1" x14ac:dyDescent="0.35">
      <c r="A17" s="14" t="s">
        <v>1</v>
      </c>
      <c r="B17" s="14">
        <v>47</v>
      </c>
      <c r="C17" s="24">
        <f>COUNTIFS(B17:B26,"&gt;60")</f>
        <v>2</v>
      </c>
    </row>
    <row r="18" spans="1:13" x14ac:dyDescent="0.3">
      <c r="A18" s="14" t="s">
        <v>2</v>
      </c>
      <c r="B18" s="14">
        <v>83</v>
      </c>
      <c r="G18" s="16"/>
      <c r="H18" s="3"/>
      <c r="I18" s="3"/>
      <c r="J18" s="3"/>
      <c r="K18" s="3"/>
      <c r="L18" s="3"/>
      <c r="M18" s="3"/>
    </row>
    <row r="19" spans="1:13" x14ac:dyDescent="0.3">
      <c r="A19" s="14" t="s">
        <v>9</v>
      </c>
      <c r="B19" s="14">
        <v>95</v>
      </c>
      <c r="G19" s="18"/>
      <c r="H19" s="4"/>
      <c r="I19" s="4"/>
      <c r="J19" s="4"/>
      <c r="K19" s="4"/>
      <c r="L19" s="4"/>
      <c r="M19" s="4"/>
    </row>
    <row r="20" spans="1:13" x14ac:dyDescent="0.3">
      <c r="A20" s="14" t="s">
        <v>4</v>
      </c>
      <c r="B20" s="14">
        <v>41</v>
      </c>
      <c r="G20" s="18"/>
      <c r="H20" s="4"/>
      <c r="I20" s="4"/>
      <c r="J20" s="4"/>
      <c r="K20" s="4"/>
      <c r="L20" s="4"/>
      <c r="M20" s="4"/>
    </row>
    <row r="21" spans="1:13" x14ac:dyDescent="0.3">
      <c r="A21" s="14" t="s">
        <v>3</v>
      </c>
      <c r="B21" s="14">
        <v>51</v>
      </c>
      <c r="G21" s="18"/>
      <c r="H21" s="4"/>
      <c r="I21" s="4"/>
      <c r="J21" s="4"/>
      <c r="K21" s="4"/>
      <c r="L21" s="4"/>
      <c r="M21" s="4"/>
    </row>
    <row r="22" spans="1:13" x14ac:dyDescent="0.3">
      <c r="A22" s="14" t="s">
        <v>10</v>
      </c>
      <c r="B22" s="14">
        <v>55</v>
      </c>
      <c r="G22" s="18"/>
      <c r="H22" s="4"/>
      <c r="I22" s="4"/>
      <c r="J22" s="4"/>
      <c r="K22" s="4"/>
      <c r="L22" s="4"/>
      <c r="M22" s="4"/>
    </row>
    <row r="23" spans="1:13" x14ac:dyDescent="0.3">
      <c r="A23" s="14" t="s">
        <v>11</v>
      </c>
      <c r="B23" s="14">
        <v>53</v>
      </c>
      <c r="G23" s="18"/>
      <c r="H23" s="4"/>
      <c r="I23" s="4"/>
      <c r="J23" s="4"/>
      <c r="K23" s="4"/>
      <c r="L23" s="4"/>
      <c r="M23" s="4"/>
    </row>
    <row r="24" spans="1:13" x14ac:dyDescent="0.3">
      <c r="A24" s="14" t="s">
        <v>12</v>
      </c>
      <c r="B24" s="14">
        <v>43</v>
      </c>
      <c r="G24" s="18"/>
      <c r="H24" s="4"/>
      <c r="I24" s="4"/>
      <c r="J24" s="4"/>
      <c r="K24" s="4"/>
      <c r="L24" s="4"/>
      <c r="M24" s="4"/>
    </row>
    <row r="25" spans="1:13" x14ac:dyDescent="0.3">
      <c r="A25" s="14" t="s">
        <v>13</v>
      </c>
      <c r="B25" s="14">
        <v>11</v>
      </c>
      <c r="G25" s="18"/>
      <c r="H25" s="4"/>
      <c r="I25" s="4"/>
      <c r="J25" s="4"/>
      <c r="K25" s="4"/>
      <c r="L25" s="4"/>
      <c r="M25" s="4"/>
    </row>
    <row r="26" spans="1:13" x14ac:dyDescent="0.3">
      <c r="A26" s="14" t="s">
        <v>5</v>
      </c>
      <c r="B26" s="14">
        <v>18</v>
      </c>
      <c r="G26" s="18"/>
      <c r="H26" s="4"/>
      <c r="I26" s="4"/>
      <c r="J26" s="4"/>
      <c r="K26" s="4"/>
      <c r="L26" s="4"/>
      <c r="M26" s="4"/>
    </row>
    <row r="27" spans="1:13" x14ac:dyDescent="0.3">
      <c r="A27" s="10" t="s">
        <v>16</v>
      </c>
      <c r="B27" s="10"/>
      <c r="C27" s="10"/>
      <c r="D27" s="10"/>
      <c r="E27" s="10"/>
      <c r="F27" s="10"/>
      <c r="G27" s="18"/>
      <c r="H27" s="4"/>
      <c r="I27" s="4"/>
      <c r="J27" s="4"/>
      <c r="K27" s="4"/>
      <c r="L27" s="4"/>
      <c r="M27" s="4"/>
    </row>
    <row r="28" spans="1:13" ht="15" thickBot="1" x14ac:dyDescent="0.35">
      <c r="A28" s="10"/>
      <c r="B28" s="10"/>
      <c r="C28" s="10"/>
      <c r="D28" s="10"/>
      <c r="E28" s="10"/>
      <c r="F28" s="10"/>
      <c r="G28" s="18"/>
      <c r="H28" s="4"/>
      <c r="I28" s="4"/>
      <c r="J28" s="4"/>
      <c r="K28" s="4"/>
      <c r="L28" s="4"/>
      <c r="M28" s="4"/>
    </row>
    <row r="29" spans="1:13" ht="16.2" thickBot="1" x14ac:dyDescent="0.35">
      <c r="A29" s="31" t="s">
        <v>17</v>
      </c>
      <c r="B29" s="31" t="s">
        <v>18</v>
      </c>
      <c r="C29" s="31" t="s">
        <v>15</v>
      </c>
      <c r="D29" s="32" t="s">
        <v>29</v>
      </c>
      <c r="E29" s="32" t="s">
        <v>15</v>
      </c>
      <c r="G29" s="18"/>
      <c r="H29" s="4"/>
      <c r="I29" s="4"/>
      <c r="J29" s="4"/>
      <c r="K29" s="4"/>
      <c r="L29" s="4"/>
      <c r="M29" s="4"/>
    </row>
    <row r="30" spans="1:13" ht="15" thickBot="1" x14ac:dyDescent="0.35">
      <c r="A30" s="14">
        <v>101</v>
      </c>
      <c r="B30" s="14" t="s">
        <v>19</v>
      </c>
      <c r="C30" s="14">
        <v>1587</v>
      </c>
      <c r="D30" s="21">
        <v>103</v>
      </c>
      <c r="E30" s="7">
        <f>VLOOKUP(D30,A29:C39,3,FALSE)</f>
        <v>8704</v>
      </c>
      <c r="G30" s="18"/>
      <c r="H30" s="4"/>
      <c r="I30" s="4"/>
      <c r="J30" s="4"/>
      <c r="K30" s="4"/>
      <c r="L30" s="4"/>
      <c r="M30" s="4"/>
    </row>
    <row r="31" spans="1:13" x14ac:dyDescent="0.3">
      <c r="A31" s="14">
        <v>102</v>
      </c>
      <c r="B31" s="14" t="s">
        <v>20</v>
      </c>
      <c r="C31" s="14">
        <v>1786</v>
      </c>
      <c r="G31" s="18"/>
      <c r="H31" s="4"/>
      <c r="I31" s="4"/>
      <c r="J31" s="4"/>
      <c r="K31" s="4"/>
      <c r="L31" s="4"/>
      <c r="M31" s="4"/>
    </row>
    <row r="32" spans="1:13" x14ac:dyDescent="0.3">
      <c r="A32" s="14">
        <v>103</v>
      </c>
      <c r="B32" s="14" t="s">
        <v>21</v>
      </c>
      <c r="C32" s="14">
        <v>8704</v>
      </c>
      <c r="G32" s="18"/>
      <c r="H32" s="4"/>
      <c r="I32" s="4"/>
      <c r="J32" s="4"/>
      <c r="K32" s="4"/>
      <c r="L32" s="4"/>
      <c r="M32" s="4"/>
    </row>
    <row r="33" spans="1:13" x14ac:dyDescent="0.3">
      <c r="A33" s="14">
        <v>104</v>
      </c>
      <c r="B33" s="14" t="s">
        <v>22</v>
      </c>
      <c r="C33" s="14">
        <v>1325</v>
      </c>
      <c r="G33" s="18"/>
      <c r="H33" s="4"/>
      <c r="I33" s="4"/>
      <c r="J33" s="4"/>
      <c r="K33" s="4"/>
      <c r="L33" s="4"/>
      <c r="M33" s="4"/>
    </row>
    <row r="34" spans="1:13" x14ac:dyDescent="0.3">
      <c r="A34" s="14">
        <v>105</v>
      </c>
      <c r="B34" s="14" t="s">
        <v>23</v>
      </c>
      <c r="C34" s="14">
        <v>1963</v>
      </c>
    </row>
    <row r="35" spans="1:13" x14ac:dyDescent="0.3">
      <c r="A35" s="14">
        <v>106</v>
      </c>
      <c r="B35" s="14" t="s">
        <v>24</v>
      </c>
      <c r="C35" s="14">
        <v>5257</v>
      </c>
    </row>
    <row r="36" spans="1:13" x14ac:dyDescent="0.3">
      <c r="A36" s="14">
        <v>107</v>
      </c>
      <c r="B36" s="14" t="s">
        <v>25</v>
      </c>
      <c r="C36" s="14">
        <v>7559</v>
      </c>
    </row>
    <row r="37" spans="1:13" x14ac:dyDescent="0.3">
      <c r="A37" s="14">
        <v>108</v>
      </c>
      <c r="B37" s="14" t="s">
        <v>26</v>
      </c>
      <c r="C37" s="14">
        <v>7763</v>
      </c>
    </row>
    <row r="38" spans="1:13" x14ac:dyDescent="0.3">
      <c r="A38" s="14">
        <v>109</v>
      </c>
      <c r="B38" s="14" t="s">
        <v>27</v>
      </c>
      <c r="C38" s="14">
        <v>5578</v>
      </c>
    </row>
    <row r="39" spans="1:13" x14ac:dyDescent="0.3">
      <c r="A39" s="14">
        <v>110</v>
      </c>
      <c r="B39" s="14" t="s">
        <v>28</v>
      </c>
      <c r="C39" s="14">
        <v>9940</v>
      </c>
    </row>
    <row r="40" spans="1:13" x14ac:dyDescent="0.3">
      <c r="A40" s="10" t="s">
        <v>41</v>
      </c>
      <c r="B40" s="10"/>
      <c r="C40" s="10"/>
      <c r="D40" s="10"/>
      <c r="E40" s="10"/>
      <c r="F40" s="10"/>
    </row>
    <row r="41" spans="1:13" ht="15" thickBot="1" x14ac:dyDescent="0.35">
      <c r="A41" s="10"/>
      <c r="B41" s="10"/>
      <c r="C41" s="10"/>
      <c r="D41" s="10"/>
      <c r="E41" s="10"/>
      <c r="F41" s="10"/>
    </row>
    <row r="42" spans="1:13" ht="16.2" thickBot="1" x14ac:dyDescent="0.35">
      <c r="A42" s="31" t="s">
        <v>30</v>
      </c>
      <c r="B42" s="31" t="s">
        <v>31</v>
      </c>
      <c r="C42" s="31" t="s">
        <v>32</v>
      </c>
      <c r="D42" s="32" t="s">
        <v>39</v>
      </c>
      <c r="E42" s="32" t="s">
        <v>38</v>
      </c>
    </row>
    <row r="43" spans="1:13" ht="15" thickBot="1" x14ac:dyDescent="0.35">
      <c r="A43" s="14">
        <v>201</v>
      </c>
      <c r="B43" s="14" t="s">
        <v>3</v>
      </c>
      <c r="C43" s="14">
        <v>3513</v>
      </c>
      <c r="D43" s="20">
        <v>203</v>
      </c>
      <c r="E43" s="9">
        <f>_xlfn.XLOOKUP(D43,A42:A52,C42:C52,"NOT FOUND")</f>
        <v>17836</v>
      </c>
    </row>
    <row r="44" spans="1:13" x14ac:dyDescent="0.3">
      <c r="A44" s="14">
        <v>202</v>
      </c>
      <c r="B44" s="14" t="s">
        <v>10</v>
      </c>
      <c r="C44" s="14">
        <v>14170</v>
      </c>
    </row>
    <row r="45" spans="1:13" x14ac:dyDescent="0.3">
      <c r="A45" s="14">
        <v>203</v>
      </c>
      <c r="B45" s="14" t="s">
        <v>11</v>
      </c>
      <c r="C45" s="14">
        <v>17836</v>
      </c>
    </row>
    <row r="46" spans="1:13" x14ac:dyDescent="0.3">
      <c r="A46" s="14">
        <v>204</v>
      </c>
      <c r="B46" s="14" t="s">
        <v>12</v>
      </c>
      <c r="C46" s="14">
        <v>11256</v>
      </c>
    </row>
    <row r="47" spans="1:13" x14ac:dyDescent="0.3">
      <c r="A47" s="14">
        <v>205</v>
      </c>
      <c r="B47" s="14" t="s">
        <v>13</v>
      </c>
      <c r="C47" s="14">
        <v>9602</v>
      </c>
    </row>
    <row r="48" spans="1:13" x14ac:dyDescent="0.3">
      <c r="A48" s="14">
        <v>206</v>
      </c>
      <c r="B48" s="14" t="s">
        <v>33</v>
      </c>
      <c r="C48" s="14">
        <v>18705</v>
      </c>
    </row>
    <row r="49" spans="1:7" x14ac:dyDescent="0.3">
      <c r="A49" s="14">
        <v>207</v>
      </c>
      <c r="B49" s="14" t="s">
        <v>34</v>
      </c>
      <c r="C49" s="14">
        <v>3305</v>
      </c>
    </row>
    <row r="50" spans="1:7" x14ac:dyDescent="0.3">
      <c r="A50" s="14">
        <v>208</v>
      </c>
      <c r="B50" s="14" t="s">
        <v>35</v>
      </c>
      <c r="C50" s="14">
        <v>11016</v>
      </c>
    </row>
    <row r="51" spans="1:7" x14ac:dyDescent="0.3">
      <c r="A51" s="14">
        <v>209</v>
      </c>
      <c r="B51" s="14" t="s">
        <v>36</v>
      </c>
      <c r="C51" s="14">
        <v>14969</v>
      </c>
    </row>
    <row r="52" spans="1:7" x14ac:dyDescent="0.3">
      <c r="A52" s="14">
        <v>210</v>
      </c>
      <c r="B52" s="14" t="s">
        <v>37</v>
      </c>
      <c r="C52" s="14">
        <v>5659</v>
      </c>
    </row>
    <row r="53" spans="1:7" x14ac:dyDescent="0.3">
      <c r="A53" s="11" t="str">
        <f>UPPER("Date Formatting &amp; Analysis — Joining Date")</f>
        <v>DATE FORMATTING &amp; ANALYSIS — JOINING DATE</v>
      </c>
      <c r="B53" s="11"/>
      <c r="C53" s="11"/>
      <c r="D53" s="11"/>
      <c r="E53" s="11"/>
      <c r="F53" s="11"/>
      <c r="G53" s="19"/>
    </row>
    <row r="54" spans="1:7" ht="15" thickBot="1" x14ac:dyDescent="0.35">
      <c r="A54" s="11"/>
      <c r="B54" s="11"/>
      <c r="C54" s="11"/>
      <c r="D54" s="11"/>
      <c r="E54" s="11"/>
      <c r="F54" s="11"/>
    </row>
    <row r="55" spans="1:7" ht="16.2" thickBot="1" x14ac:dyDescent="0.35">
      <c r="A55" s="31" t="s">
        <v>46</v>
      </c>
      <c r="B55" s="31" t="s">
        <v>45</v>
      </c>
      <c r="C55" s="33" t="s">
        <v>48</v>
      </c>
      <c r="D55" s="34" t="s">
        <v>49</v>
      </c>
      <c r="E55" s="34" t="s">
        <v>50</v>
      </c>
    </row>
    <row r="56" spans="1:7" ht="15" thickBot="1" x14ac:dyDescent="0.35">
      <c r="A56" s="14" t="s">
        <v>2</v>
      </c>
      <c r="B56" s="23">
        <v>40433</v>
      </c>
      <c r="C56" s="22">
        <f>YEAR(B56)</f>
        <v>2010</v>
      </c>
      <c r="D56" s="8" t="str">
        <f>TEXT(B56,"mmmm")</f>
        <v>September</v>
      </c>
      <c r="E56" s="8">
        <f ca="1">DATEDIF(B56,TODAY(),"Y")</f>
        <v>16</v>
      </c>
    </row>
    <row r="57" spans="1:7" ht="15" thickBot="1" x14ac:dyDescent="0.35">
      <c r="A57" s="14" t="s">
        <v>9</v>
      </c>
      <c r="B57" s="23">
        <v>40829</v>
      </c>
      <c r="C57" s="22">
        <f>YEAR(B57)</f>
        <v>2011</v>
      </c>
      <c r="D57" s="8" t="str">
        <f>TEXT(B57,"mmmm")</f>
        <v>October</v>
      </c>
      <c r="E57" s="8">
        <f ca="1">DATEDIF(B57,TODAY(),"Y")</f>
        <v>15</v>
      </c>
    </row>
    <row r="58" spans="1:7" ht="15" thickBot="1" x14ac:dyDescent="0.35">
      <c r="A58" s="14" t="s">
        <v>4</v>
      </c>
      <c r="B58" s="23">
        <v>41225</v>
      </c>
      <c r="C58" s="22">
        <f>YEAR(B58)</f>
        <v>2012</v>
      </c>
      <c r="D58" s="8" t="str">
        <f>TEXT(B58,"mmmm")</f>
        <v>November</v>
      </c>
      <c r="E58" s="8">
        <f ca="1">DATEDIF(B58,TODAY(),"Y")</f>
        <v>13</v>
      </c>
    </row>
    <row r="59" spans="1:7" ht="15" thickBot="1" x14ac:dyDescent="0.35">
      <c r="A59" s="14" t="s">
        <v>3</v>
      </c>
      <c r="B59" s="23">
        <v>41621</v>
      </c>
      <c r="C59" s="22">
        <f>YEAR(B59)</f>
        <v>2013</v>
      </c>
      <c r="D59" s="8" t="str">
        <f>TEXT(B59,"mmmm")</f>
        <v>December</v>
      </c>
      <c r="E59" s="8">
        <f ca="1">DATEDIF(B59,TODAY(),"Y")</f>
        <v>12</v>
      </c>
    </row>
    <row r="60" spans="1:7" ht="15" thickBot="1" x14ac:dyDescent="0.35">
      <c r="A60" s="14" t="s">
        <v>10</v>
      </c>
      <c r="B60" s="23">
        <v>42017</v>
      </c>
      <c r="C60" s="22">
        <f>YEAR(B60)</f>
        <v>2015</v>
      </c>
      <c r="D60" s="8" t="str">
        <f>TEXT(B60,"mmmm")</f>
        <v>January</v>
      </c>
      <c r="E60" s="8">
        <f ca="1">DATEDIF(B60,TODAY(),"Y")</f>
        <v>11</v>
      </c>
    </row>
    <row r="61" spans="1:7" ht="15" thickBot="1" x14ac:dyDescent="0.35">
      <c r="A61" s="14" t="s">
        <v>11</v>
      </c>
      <c r="B61" s="23">
        <v>42413</v>
      </c>
      <c r="C61" s="22">
        <f>YEAR(B61)</f>
        <v>2016</v>
      </c>
      <c r="D61" s="8" t="str">
        <f>TEXT(B61,"mmmm")</f>
        <v>February</v>
      </c>
      <c r="E61" s="8">
        <f ca="1">DATEDIF(B61,TODAY(),"Y")</f>
        <v>10</v>
      </c>
    </row>
    <row r="62" spans="1:7" ht="15" thickBot="1" x14ac:dyDescent="0.35">
      <c r="A62" s="14" t="s">
        <v>12</v>
      </c>
      <c r="B62" s="23">
        <v>42809</v>
      </c>
      <c r="C62" s="22">
        <f>YEAR(B62)</f>
        <v>2017</v>
      </c>
      <c r="D62" s="8" t="str">
        <f>TEXT(B62,"mmmm")</f>
        <v>March</v>
      </c>
      <c r="E62" s="8">
        <f ca="1">DATEDIF(B62,TODAY(),"Y")</f>
        <v>9</v>
      </c>
    </row>
    <row r="63" spans="1:7" ht="15" thickBot="1" x14ac:dyDescent="0.35">
      <c r="A63" s="14" t="s">
        <v>13</v>
      </c>
      <c r="B63" s="23">
        <v>43205</v>
      </c>
      <c r="C63" s="22">
        <f>YEAR(B63)</f>
        <v>2018</v>
      </c>
      <c r="D63" s="8" t="str">
        <f>TEXT(B63,"mmmm")</f>
        <v>April</v>
      </c>
      <c r="E63" s="8">
        <f ca="1">DATEDIF(B63,TODAY(),"Y")</f>
        <v>8</v>
      </c>
    </row>
    <row r="64" spans="1:7" ht="15" thickBot="1" x14ac:dyDescent="0.35">
      <c r="A64" s="14" t="s">
        <v>5</v>
      </c>
      <c r="B64" s="23">
        <v>43601</v>
      </c>
      <c r="C64" s="22">
        <f>YEAR(B64)</f>
        <v>2019</v>
      </c>
      <c r="D64" s="8" t="str">
        <f>TEXT(B64,"mmmm")</f>
        <v>May</v>
      </c>
      <c r="E64" s="8">
        <f ca="1">DATEDIF(B64,TODAY(),"Y")</f>
        <v>7</v>
      </c>
    </row>
    <row r="65" spans="1:6" ht="15" thickBot="1" x14ac:dyDescent="0.35">
      <c r="A65" s="14" t="s">
        <v>47</v>
      </c>
      <c r="B65" s="23">
        <v>43997</v>
      </c>
      <c r="C65" s="22">
        <f>YEAR(B65)</f>
        <v>2020</v>
      </c>
      <c r="D65" s="8" t="str">
        <f>TEXT(B65,"mmmm")</f>
        <v>June</v>
      </c>
      <c r="E65" s="8">
        <f ca="1">DATEDIF(B65,TODAY(),"Y")</f>
        <v>6</v>
      </c>
    </row>
    <row r="66" spans="1:6" x14ac:dyDescent="0.3">
      <c r="A66" s="12" t="s">
        <v>43</v>
      </c>
      <c r="B66" s="12"/>
      <c r="C66" s="12"/>
      <c r="D66" s="12"/>
      <c r="E66" s="12"/>
      <c r="F66" s="12"/>
    </row>
    <row r="67" spans="1:6" ht="15" thickBot="1" x14ac:dyDescent="0.35">
      <c r="A67" s="12"/>
      <c r="B67" s="12"/>
      <c r="C67" s="12"/>
      <c r="D67" s="12"/>
      <c r="E67" s="12"/>
      <c r="F67" s="12"/>
    </row>
    <row r="68" spans="1:6" ht="16.2" thickBot="1" x14ac:dyDescent="0.35">
      <c r="A68" s="31" t="s">
        <v>0</v>
      </c>
      <c r="B68" s="31" t="s">
        <v>44</v>
      </c>
      <c r="C68" s="35" t="s">
        <v>31</v>
      </c>
      <c r="D68" s="36" t="s">
        <v>44</v>
      </c>
    </row>
    <row r="69" spans="1:6" ht="15" thickBot="1" x14ac:dyDescent="0.35">
      <c r="A69" s="14" t="s">
        <v>13</v>
      </c>
      <c r="B69" s="14">
        <v>31</v>
      </c>
      <c r="C69" s="22" t="str" cm="1">
        <f t="array" ref="C69:D70">_xlfn._xlws.FILTER(A69:B80,B69:B80&gt;80,"NO MATCHING STUDENT")</f>
        <v>JOSI</v>
      </c>
      <c r="D69" s="8">
        <v>93</v>
      </c>
    </row>
    <row r="70" spans="1:6" ht="15" thickBot="1" x14ac:dyDescent="0.35">
      <c r="A70" s="14" t="s">
        <v>33</v>
      </c>
      <c r="B70" s="14">
        <v>32</v>
      </c>
      <c r="C70" s="22" t="str">
        <v>MONU</v>
      </c>
      <c r="D70" s="8">
        <v>91</v>
      </c>
    </row>
    <row r="71" spans="1:6" x14ac:dyDescent="0.3">
      <c r="A71" s="14" t="s">
        <v>34</v>
      </c>
      <c r="B71" s="14">
        <v>26</v>
      </c>
      <c r="C71" s="3"/>
      <c r="D71" s="3"/>
    </row>
    <row r="72" spans="1:6" x14ac:dyDescent="0.3">
      <c r="A72" s="14" t="s">
        <v>35</v>
      </c>
      <c r="B72" s="14">
        <v>93</v>
      </c>
      <c r="C72" s="3"/>
      <c r="D72" s="3"/>
    </row>
    <row r="73" spans="1:6" x14ac:dyDescent="0.3">
      <c r="A73" s="14" t="s">
        <v>36</v>
      </c>
      <c r="B73" s="14">
        <v>77</v>
      </c>
      <c r="C73" s="3"/>
      <c r="D73" s="3"/>
    </row>
    <row r="74" spans="1:6" x14ac:dyDescent="0.3">
      <c r="A74" s="14" t="s">
        <v>37</v>
      </c>
      <c r="B74" s="14">
        <v>15</v>
      </c>
      <c r="C74" s="3"/>
      <c r="D74" s="3"/>
    </row>
    <row r="75" spans="1:6" x14ac:dyDescent="0.3">
      <c r="A75" s="14" t="s">
        <v>1</v>
      </c>
      <c r="B75" s="14">
        <v>48</v>
      </c>
      <c r="C75" s="3"/>
      <c r="D75" s="3"/>
    </row>
    <row r="76" spans="1:6" x14ac:dyDescent="0.3">
      <c r="A76" s="14" t="s">
        <v>2</v>
      </c>
      <c r="B76" s="14">
        <v>23</v>
      </c>
      <c r="C76" s="3"/>
      <c r="D76" s="3"/>
    </row>
    <row r="77" spans="1:6" x14ac:dyDescent="0.3">
      <c r="A77" s="14" t="s">
        <v>11</v>
      </c>
      <c r="B77" s="14">
        <v>19</v>
      </c>
      <c r="C77" s="3"/>
      <c r="D77" s="3"/>
    </row>
    <row r="78" spans="1:6" x14ac:dyDescent="0.3">
      <c r="A78" s="14" t="s">
        <v>4</v>
      </c>
      <c r="B78" s="14">
        <v>91</v>
      </c>
      <c r="C78" s="3"/>
      <c r="D78" s="3"/>
    </row>
    <row r="79" spans="1:6" x14ac:dyDescent="0.3">
      <c r="A79" s="14" t="s">
        <v>3</v>
      </c>
      <c r="B79" s="14">
        <v>14</v>
      </c>
      <c r="C79" s="3"/>
      <c r="D79" s="3"/>
    </row>
    <row r="80" spans="1:6" x14ac:dyDescent="0.3">
      <c r="A80" s="14" t="s">
        <v>10</v>
      </c>
      <c r="B80" s="14">
        <v>53</v>
      </c>
      <c r="C80" s="3"/>
      <c r="D80" s="3"/>
    </row>
    <row r="81" spans="1:6" ht="14.4" customHeight="1" x14ac:dyDescent="0.3">
      <c r="A81" s="37"/>
      <c r="B81" s="37"/>
      <c r="C81" s="37"/>
      <c r="D81" s="37"/>
      <c r="E81" s="37"/>
      <c r="F81" s="37"/>
    </row>
    <row r="82" spans="1:6" ht="14.4" customHeight="1" x14ac:dyDescent="0.3"/>
    <row r="117" ht="14.4" customHeight="1" x14ac:dyDescent="0.3"/>
    <row r="118" ht="14.4" customHeight="1" x14ac:dyDescent="0.3"/>
  </sheetData>
  <mergeCells count="7">
    <mergeCell ref="A81:F81"/>
    <mergeCell ref="A40:F41"/>
    <mergeCell ref="A53:F54"/>
    <mergeCell ref="A66:F67"/>
    <mergeCell ref="A1:F2"/>
    <mergeCell ref="A14:F15"/>
    <mergeCell ref="A27:F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 BOOSTER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2026-10-13T03:26:41Z</dcterms:created>
  <dcterms:modified xsi:type="dcterms:W3CDTF">2026-10-21T18:01:41Z</dcterms:modified>
</cp:coreProperties>
</file>